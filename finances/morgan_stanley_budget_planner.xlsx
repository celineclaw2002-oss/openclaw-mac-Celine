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Planner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7F9FC"/>
      </patternFill>
    </fill>
    <fill>
      <patternFill patternType="solid">
        <fgColor rgb="00DCEAF7"/>
      </patternFill>
    </fill>
    <fill>
      <patternFill patternType="solid">
        <fgColor rgb="00FCE8B2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C0CD"/>
      </left>
      <right style="thin">
        <color rgb="00B7C0CD"/>
      </right>
      <top style="thin">
        <color rgb="00B7C0CD"/>
      </top>
      <bottom style="thin">
        <color rgb="00B7C0C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pivotButton="0" quotePrefix="0" xfId="0"/>
    <xf numFmtId="0" fontId="0" fillId="0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164" fontId="3" fillId="6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applyAlignment="1" pivotButton="0" quotePrefix="0" xfId="0">
      <alignment vertical="center" wrapText="1"/>
    </xf>
    <xf numFmtId="165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164" fontId="3" fillId="7" borderId="1" applyAlignment="1" pivotButton="0" quotePrefix="0" xfId="0">
      <alignment vertical="center" wrapText="1"/>
    </xf>
    <xf numFmtId="165" fontId="3" fillId="7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Morgan Stanley Budget Planner</t>
        </is>
      </c>
    </row>
    <row r="2">
      <c r="A2" s="2" t="inlineStr">
        <is>
          <t>Editable inputs are highlighted in gold. This workbook estimates Manhattan taxes and monthly savings based on your current offer.</t>
        </is>
      </c>
    </row>
    <row r="3"/>
    <row r="4">
      <c r="A4" s="3" t="inlineStr">
        <is>
          <t>Inputs</t>
        </is>
      </c>
      <c r="B4" s="4" t="n"/>
      <c r="C4" s="4" t="n"/>
      <c r="D4" s="4" t="n"/>
      <c r="E4" s="4" t="n"/>
    </row>
    <row r="5">
      <c r="A5" s="5" t="inlineStr">
        <is>
          <t>Base salary</t>
        </is>
      </c>
      <c r="B5" s="6" t="n">
        <v>150000</v>
      </c>
      <c r="C5" s="5" t="inlineStr">
        <is>
          <t>Edit me</t>
        </is>
      </c>
    </row>
    <row r="6">
      <c r="A6" s="5" t="inlineStr">
        <is>
          <t>Sign-on bonus</t>
        </is>
      </c>
      <c r="B6" s="6" t="n">
        <v>40000</v>
      </c>
      <c r="C6" s="5" t="inlineStr">
        <is>
          <t>Edit me</t>
        </is>
      </c>
    </row>
    <row r="7">
      <c r="A7" s="5" t="inlineStr">
        <is>
          <t>Relocation payment</t>
        </is>
      </c>
      <c r="B7" s="6" t="n">
        <v>10000</v>
      </c>
      <c r="C7" s="5" t="inlineStr">
        <is>
          <t>Edit me</t>
        </is>
      </c>
    </row>
    <row r="8">
      <c r="A8" s="5" t="inlineStr">
        <is>
          <t>Discretionary year-end bonus</t>
        </is>
      </c>
      <c r="B8" s="6" t="n">
        <v>0</v>
      </c>
      <c r="C8" s="5" t="inlineStr">
        <is>
          <t>Edit me</t>
        </is>
      </c>
    </row>
    <row r="9">
      <c r="A9" s="5" t="inlineStr">
        <is>
          <t>401(k) annual contribution</t>
        </is>
      </c>
      <c r="B9" s="6" t="n">
        <v>0</v>
      </c>
      <c r="C9" s="5" t="inlineStr">
        <is>
          <t>Edit me</t>
        </is>
      </c>
    </row>
    <row r="10">
      <c r="A10" s="5" t="inlineStr">
        <is>
          <t>Monthly health insurance premium</t>
        </is>
      </c>
      <c r="B10" s="6" t="n">
        <v>0</v>
      </c>
      <c r="C10" s="5" t="inlineStr">
        <is>
          <t>Edit me</t>
        </is>
      </c>
    </row>
    <row r="11">
      <c r="A11" s="5" t="inlineStr">
        <is>
          <t>Monthly rent</t>
        </is>
      </c>
      <c r="B11" s="6" t="n">
        <v>4450</v>
      </c>
      <c r="C11" s="5" t="inlineStr">
        <is>
          <t>Edit me</t>
        </is>
      </c>
    </row>
    <row r="12">
      <c r="A12" s="5" t="inlineStr">
        <is>
          <t>Monthly phone and internet</t>
        </is>
      </c>
      <c r="B12" s="6" t="n">
        <v>120</v>
      </c>
      <c r="C12" s="5" t="inlineStr">
        <is>
          <t>Edit me</t>
        </is>
      </c>
    </row>
    <row r="13">
      <c r="A13" s="5" t="inlineStr">
        <is>
          <t>Weekly groceries and basic food</t>
        </is>
      </c>
      <c r="B13" s="6" t="n">
        <v>150</v>
      </c>
      <c r="C13" s="5" t="inlineStr">
        <is>
          <t>Edit me</t>
        </is>
      </c>
    </row>
    <row r="14">
      <c r="A14" s="5" t="inlineStr">
        <is>
          <t>Weekly going out spend</t>
        </is>
      </c>
      <c r="B14" s="6" t="n">
        <v>400</v>
      </c>
      <c r="C14" s="5" t="inlineStr">
        <is>
          <t>Edit me</t>
        </is>
      </c>
    </row>
    <row r="15">
      <c r="A15" s="5" t="inlineStr">
        <is>
          <t>Monthly miscellaneous</t>
        </is>
      </c>
      <c r="B15" s="6" t="n">
        <v>500</v>
      </c>
      <c r="C15" s="5" t="inlineStr">
        <is>
          <t>Edit me</t>
        </is>
      </c>
    </row>
    <row r="16">
      <c r="A16" s="5" t="inlineStr">
        <is>
          <t>Monthly transportation</t>
        </is>
      </c>
      <c r="B16" s="6" t="n">
        <v>0</v>
      </c>
      <c r="C16" s="5" t="inlineStr">
        <is>
          <t>Edit me</t>
        </is>
      </c>
    </row>
    <row r="17">
      <c r="A17" s="5" t="inlineStr">
        <is>
          <t>Monthly subscriptions / gym</t>
        </is>
      </c>
      <c r="B17" s="6" t="n">
        <v>0</v>
      </c>
      <c r="C17" s="5" t="inlineStr">
        <is>
          <t>Edit me</t>
        </is>
      </c>
    </row>
    <row r="18">
      <c r="A18" s="5" t="inlineStr">
        <is>
          <t>Monthly clothing / grooming / gifts</t>
        </is>
      </c>
      <c r="B18" s="6" t="n">
        <v>0</v>
      </c>
      <c r="C18" s="5" t="inlineStr">
        <is>
          <t>Edit me</t>
        </is>
      </c>
    </row>
    <row r="19">
      <c r="A19" s="5" t="inlineStr">
        <is>
          <t>Monthly medical out-of-pocket</t>
        </is>
      </c>
      <c r="B19" s="6" t="n">
        <v>0</v>
      </c>
      <c r="C19" s="5" t="inlineStr">
        <is>
          <t>Edit me</t>
        </is>
      </c>
    </row>
    <row r="20">
      <c r="A20" s="5" t="inlineStr">
        <is>
          <t>Monthly travel sinking fund</t>
        </is>
      </c>
      <c r="B20" s="6" t="n">
        <v>0</v>
      </c>
      <c r="C20" s="5" t="inlineStr">
        <is>
          <t>Edit me</t>
        </is>
      </c>
    </row>
    <row r="21">
      <c r="A21" s="5" t="inlineStr">
        <is>
          <t>Monthly other expenses</t>
        </is>
      </c>
      <c r="B21" s="6" t="n">
        <v>0</v>
      </c>
      <c r="C21" s="5" t="inlineStr">
        <is>
          <t>Edit me</t>
        </is>
      </c>
    </row>
    <row r="22">
      <c r="A22" s="3" t="inlineStr">
        <is>
          <t>Tax Assumptions</t>
        </is>
      </c>
      <c r="B22" s="4" t="n"/>
      <c r="C22" s="4" t="n"/>
      <c r="D22" s="4" t="n"/>
      <c r="E22" s="4" t="n"/>
    </row>
    <row r="23">
      <c r="A23" s="5" t="inlineStr">
        <is>
          <t>Federal standard deduction</t>
        </is>
      </c>
      <c r="B23" s="6" t="n">
        <v>15000</v>
      </c>
    </row>
    <row r="24">
      <c r="A24" s="5" t="inlineStr">
        <is>
          <t>NY state standard deduction</t>
        </is>
      </c>
      <c r="B24" s="6" t="n">
        <v>8000</v>
      </c>
    </row>
    <row r="25">
      <c r="A25" s="5" t="inlineStr">
        <is>
          <t>Social Security wage base</t>
        </is>
      </c>
      <c r="B25" s="6" t="n">
        <v>176100</v>
      </c>
    </row>
    <row r="26">
      <c r="A26" s="5" t="inlineStr">
        <is>
          <t>Additional Medicare threshold</t>
        </is>
      </c>
      <c r="B26" s="6" t="n">
        <v>200000</v>
      </c>
    </row>
    <row r="27">
      <c r="A27" s="3" t="inlineStr">
        <is>
          <t>Annual Compensation Breakdown</t>
        </is>
      </c>
      <c r="B27" s="4" t="n"/>
      <c r="C27" s="4" t="n"/>
      <c r="D27" s="4" t="n"/>
      <c r="E27" s="4" t="n"/>
    </row>
    <row r="28">
      <c r="A28" s="7" t="inlineStr">
        <is>
          <t>Line Item</t>
        </is>
      </c>
      <c r="B28" s="7" t="inlineStr">
        <is>
          <t>Annual</t>
        </is>
      </c>
      <c r="C28" s="7" t="inlineStr">
        <is>
          <t>Monthly Avg</t>
        </is>
      </c>
      <c r="D28" s="7" t="inlineStr">
        <is>
          <t>Notes</t>
        </is>
      </c>
      <c r="E28" s="7" t="inlineStr"/>
    </row>
    <row r="29">
      <c r="A29" s="5" t="inlineStr">
        <is>
          <t>Base salary</t>
        </is>
      </c>
      <c r="B29" s="8">
        <f>B5</f>
        <v/>
      </c>
      <c r="C29" s="8">
        <f>B29/12</f>
        <v/>
      </c>
      <c r="D29" s="5" t="inlineStr">
        <is>
          <t>Recurring salary</t>
        </is>
      </c>
    </row>
    <row r="30">
      <c r="A30" s="5" t="inlineStr">
        <is>
          <t>Sign-on bonus</t>
        </is>
      </c>
      <c r="B30" s="8">
        <f>B6</f>
        <v/>
      </c>
      <c r="C30" s="8">
        <f>B30/12</f>
        <v/>
      </c>
      <c r="D30" s="5" t="inlineStr">
        <is>
          <t>One-time year 1 cash</t>
        </is>
      </c>
    </row>
    <row r="31">
      <c r="A31" s="5" t="inlineStr">
        <is>
          <t>Relocation payment</t>
        </is>
      </c>
      <c r="B31" s="8">
        <f>B7</f>
        <v/>
      </c>
      <c r="C31" s="8">
        <f>B31/12</f>
        <v/>
      </c>
      <c r="D31" s="5" t="inlineStr">
        <is>
          <t>One-time year 1 cash</t>
        </is>
      </c>
    </row>
    <row r="32">
      <c r="A32" s="5" t="inlineStr">
        <is>
          <t>Discretionary year-end bonus</t>
        </is>
      </c>
      <c r="B32" s="8">
        <f>B8</f>
        <v/>
      </c>
      <c r="C32" s="8">
        <f>B32/12</f>
        <v/>
      </c>
      <c r="D32" s="5" t="inlineStr">
        <is>
          <t>Editable if you want to model one</t>
        </is>
      </c>
    </row>
    <row r="33">
      <c r="A33" s="9" t="inlineStr">
        <is>
          <t>Total gross compensation</t>
        </is>
      </c>
      <c r="B33" s="10">
        <f>SUM(B29:B32)</f>
        <v/>
      </c>
      <c r="C33" s="10">
        <f>B33/12</f>
        <v/>
      </c>
    </row>
    <row r="34"/>
    <row r="35">
      <c r="A35" s="3" t="inlineStr">
        <is>
          <t>Tax Scenarios</t>
        </is>
      </c>
      <c r="B35" s="4" t="n"/>
      <c r="C35" s="4" t="n"/>
      <c r="D35" s="4" t="n"/>
      <c r="E35" s="4" t="n"/>
    </row>
    <row r="36">
      <c r="A36" s="7" t="inlineStr">
        <is>
          <t>Line Item</t>
        </is>
      </c>
      <c r="B36" s="7" t="inlineStr">
        <is>
          <t>Year 1 Total Comp</t>
        </is>
      </c>
      <c r="C36" s="7" t="inlineStr">
        <is>
          <t>Base Salary Only</t>
        </is>
      </c>
      <c r="D36" s="7" t="inlineStr">
        <is>
          <t>Notes</t>
        </is>
      </c>
      <c r="E36" s="7" t="inlineStr"/>
    </row>
    <row r="37">
      <c r="A37" s="5" t="inlineStr">
        <is>
          <t>Gross compensation</t>
        </is>
      </c>
      <c r="B37" s="8">
        <f>B33</f>
        <v/>
      </c>
      <c r="C37" s="8">
        <f>B5</f>
        <v/>
      </c>
      <c r="D37" s="5" t="inlineStr">
        <is>
          <t>Base-only excludes sign-on, relocation, bonus</t>
        </is>
      </c>
    </row>
    <row r="38">
      <c r="A38" s="5" t="inlineStr">
        <is>
          <t>Taxable wages after 401(k)</t>
        </is>
      </c>
      <c r="B38" s="8">
        <f>MAX(B37-B9,0)</f>
        <v/>
      </c>
      <c r="C38" s="8">
        <f>MAX(C37-B9,0)</f>
        <v/>
      </c>
      <c r="D38" s="11" t="n"/>
    </row>
    <row r="39">
      <c r="A39" s="5" t="inlineStr">
        <is>
          <t>Federal taxable income</t>
        </is>
      </c>
      <c r="B39" s="8">
        <f>MAX(B38-B23,0)</f>
        <v/>
      </c>
      <c r="C39" s="8">
        <f>MAX(C38-B23,0)</f>
        <v/>
      </c>
      <c r="D39" s="11" t="n"/>
    </row>
    <row r="40">
      <c r="A40" s="5" t="inlineStr">
        <is>
          <t>NY taxable income</t>
        </is>
      </c>
      <c r="B40" s="8">
        <f>MAX(B38-B24,0)</f>
        <v/>
      </c>
      <c r="C40" s="8">
        <f>MAX(C38-B24,0)</f>
        <v/>
      </c>
      <c r="D40" s="11" t="n"/>
    </row>
    <row r="41">
      <c r="A41" s="5" t="inlineStr">
        <is>
          <t>Federal income tax</t>
        </is>
      </c>
      <c r="B41" s="8">
        <f>MAX(MIN(B39,11925)-0,0)*0.10+MAX(MIN(B39,48475)-11925,0)*0.12+MAX(MIN(B39,103350)-48475,0)*0.22+MAX(MIN(B39,197300)-103350,0)*0.24+MAX(MIN(B39,250525)-197300,0)*0.32+MAX(MIN(B39,626350)-250525,0)*0.35+MAX(B39-626350,0)*0.37</f>
        <v/>
      </c>
      <c r="C41" s="8">
        <f>MAX(MIN(C39,11925)-0,0)*0.10+MAX(MIN(C39,48475)-11925,0)*0.12+MAX(MIN(C39,103350)-48475,0)*0.22+MAX(MIN(C39,197300)-103350,0)*0.24+MAX(MIN(C39,250525)-197300,0)*0.32+MAX(MIN(C39,626350)-250525,0)*0.35+MAX(C39-626350,0)*0.37</f>
        <v/>
      </c>
      <c r="D41" s="5" t="inlineStr"/>
    </row>
    <row r="42">
      <c r="A42" s="5" t="inlineStr">
        <is>
          <t>Social Security tax</t>
        </is>
      </c>
      <c r="B42" s="8">
        <f>MIN(B38,B25)*6.2%</f>
        <v/>
      </c>
      <c r="C42" s="8">
        <f>MIN(C38,B25)*6.2%</f>
        <v/>
      </c>
      <c r="D42" s="5" t="inlineStr"/>
    </row>
    <row r="43">
      <c r="A43" s="5" t="inlineStr">
        <is>
          <t>Medicare tax</t>
        </is>
      </c>
      <c r="B43" s="8">
        <f>B38*1.45%+MAX(B38-B26,0)*0.9%</f>
        <v/>
      </c>
      <c r="C43" s="8">
        <f>C38*1.45%+MAX(C38-B26,0)*0.9%</f>
        <v/>
      </c>
      <c r="D43" s="5" t="inlineStr"/>
    </row>
    <row r="44">
      <c r="A44" s="5" t="inlineStr">
        <is>
          <t>NY state tax</t>
        </is>
      </c>
      <c r="B44" s="8">
        <f>MAX(MIN(B40,8500)-0,0)*0.04+MAX(MIN(B40,11700)-8500,0)*0.045+MAX(MIN(B40,13900)-11700,0)*0.0525+MAX(MIN(B40,21400)-13900,0)*0.055+MAX(MIN(B40,80650)-21400,0)*0.06+MAX(MIN(B40,215400)-80650,0)*0.0685+MAX(MIN(B40,1077550)-215400,0)*0.0965+MAX(MIN(B40,5000000)-1077550,0)*0.103+MAX(MIN(B40,25000000)-5000000,0)*0.109+MAX(B40-25000000,0)*0.109</f>
        <v/>
      </c>
      <c r="C44" s="8">
        <f>MAX(MIN(C40,8500)-0,0)*0.04+MAX(MIN(C40,11700)-8500,0)*0.045+MAX(MIN(C40,13900)-11700,0)*0.0525+MAX(MIN(C40,21400)-13900,0)*0.055+MAX(MIN(C40,80650)-21400,0)*0.06+MAX(MIN(C40,215400)-80650,0)*0.0685+MAX(MIN(C40,1077550)-215400,0)*0.0965+MAX(MIN(C40,5000000)-1077550,0)*0.103+MAX(MIN(C40,25000000)-5000000,0)*0.109+MAX(C40-25000000,0)*0.109</f>
        <v/>
      </c>
      <c r="D44" s="5" t="inlineStr"/>
    </row>
    <row r="45">
      <c r="A45" s="5" t="inlineStr">
        <is>
          <t>NYC tax</t>
        </is>
      </c>
      <c r="B45" s="8">
        <f>MAX(MIN(B38,12000)-0,0)*0.03078+MAX(MIN(B38,25000)-12000,0)*0.03762+MAX(MIN(B38,50000)-25000,0)*0.03819+MAX(B38-50000,0)*0.03876</f>
        <v/>
      </c>
      <c r="C45" s="8">
        <f>MAX(MIN(C38,12000)-0,0)*0.03078+MAX(MIN(C38,25000)-12000,0)*0.03762+MAX(MIN(C38,50000)-25000,0)*0.03819+MAX(C38-50000,0)*0.03876</f>
        <v/>
      </c>
      <c r="D45" s="5" t="inlineStr"/>
    </row>
    <row r="46">
      <c r="A46" s="9" t="inlineStr">
        <is>
          <t>Total estimated tax</t>
        </is>
      </c>
      <c r="B46" s="10">
        <f>SUM(B41:B45)</f>
        <v/>
      </c>
      <c r="C46" s="10">
        <f>SUM(C41:C45)</f>
        <v/>
      </c>
      <c r="D46" s="11" t="n"/>
    </row>
    <row r="47">
      <c r="A47" s="9" t="inlineStr">
        <is>
          <t>Annual take-home after tax and 401(k)</t>
        </is>
      </c>
      <c r="B47" s="10">
        <f>B37-B9-B46</f>
        <v/>
      </c>
      <c r="C47" s="10">
        <f>C37-B9-C46</f>
        <v/>
      </c>
      <c r="D47" s="11" t="n"/>
    </row>
    <row r="48">
      <c r="A48" s="9" t="inlineStr">
        <is>
          <t>Monthly take-home after tax and 401(k)</t>
        </is>
      </c>
      <c r="B48" s="10">
        <f>B47/12</f>
        <v/>
      </c>
      <c r="C48" s="10">
        <f>C47/12</f>
        <v/>
      </c>
      <c r="D48" s="11" t="n"/>
    </row>
    <row r="49"/>
    <row r="50">
      <c r="A50" s="3" t="inlineStr">
        <is>
          <t>Monthly Budget Breakdown</t>
        </is>
      </c>
      <c r="B50" s="4" t="n"/>
      <c r="C50" s="4" t="n"/>
      <c r="D50" s="4" t="n"/>
      <c r="E50" s="4" t="n"/>
    </row>
    <row r="51">
      <c r="A51" s="7" t="inlineStr">
        <is>
          <t>Line Item</t>
        </is>
      </c>
      <c r="B51" s="7" t="inlineStr">
        <is>
          <t>Monthly Amount</t>
        </is>
      </c>
      <c r="C51" s="7" t="inlineStr">
        <is>
          <t>Annualized</t>
        </is>
      </c>
      <c r="D51" s="7" t="inlineStr">
        <is>
          <t>% of Base Monthly Net</t>
        </is>
      </c>
      <c r="E51" s="7" t="inlineStr">
        <is>
          <t>Notes</t>
        </is>
      </c>
    </row>
    <row r="52">
      <c r="A52" s="5" t="inlineStr">
        <is>
          <t>Monthly net income (base salary only)</t>
        </is>
      </c>
      <c r="B52" s="8">
        <f>C48</f>
        <v/>
      </c>
      <c r="C52" s="8">
        <f>B52*12</f>
        <v/>
      </c>
      <c r="D52" s="12">
        <f>IF(B52=0,0,B52/B52)</f>
        <v/>
      </c>
      <c r="E52" s="5" t="inlineStr">
        <is>
          <t>Steady-state monthly take-home</t>
        </is>
      </c>
    </row>
    <row r="53">
      <c r="A53" s="5" t="inlineStr">
        <is>
          <t>Monthly net income (year 1 total comp)</t>
        </is>
      </c>
      <c r="B53" s="8">
        <f>B48</f>
        <v/>
      </c>
      <c r="C53" s="8">
        <f>B53*12</f>
        <v/>
      </c>
      <c r="D53" s="12">
        <f>IF(B52=0,0,B53/B52)</f>
        <v/>
      </c>
      <c r="E53" s="5" t="inlineStr">
        <is>
          <t>Averages sign-on / relocation / bonus across 12 months</t>
        </is>
      </c>
    </row>
    <row r="54">
      <c r="A54" s="5" t="inlineStr">
        <is>
          <t>Health insurance premium</t>
        </is>
      </c>
      <c r="B54" s="8">
        <f>B10</f>
        <v/>
      </c>
      <c r="C54" s="8">
        <f>B54*12</f>
        <v/>
      </c>
      <c r="D54" s="12">
        <f>IF(B52=0,0,B54/B52)</f>
        <v/>
      </c>
      <c r="E54" s="5" t="inlineStr">
        <is>
          <t>Payroll deduction estimate</t>
        </is>
      </c>
    </row>
    <row r="55">
      <c r="A55" s="5" t="inlineStr">
        <is>
          <t>Rent</t>
        </is>
      </c>
      <c r="B55" s="8">
        <f>B11</f>
        <v/>
      </c>
      <c r="C55" s="8">
        <f>B55*12</f>
        <v/>
      </c>
      <c r="D55" s="12">
        <f>IF(B52=0,0,B55/B52)</f>
        <v/>
      </c>
      <c r="E55" s="5" t="inlineStr"/>
    </row>
    <row r="56">
      <c r="A56" s="5" t="inlineStr">
        <is>
          <t>Phone and internet</t>
        </is>
      </c>
      <c r="B56" s="8">
        <f>B12</f>
        <v/>
      </c>
      <c r="C56" s="8">
        <f>B56*12</f>
        <v/>
      </c>
      <c r="D56" s="12">
        <f>IF(B52=0,0,B56/B52)</f>
        <v/>
      </c>
      <c r="E56" s="5" t="inlineStr"/>
    </row>
    <row r="57">
      <c r="A57" s="5" t="inlineStr">
        <is>
          <t>Groceries and basic food</t>
        </is>
      </c>
      <c r="B57" s="8">
        <f>B13*52/12</f>
        <v/>
      </c>
      <c r="C57" s="8">
        <f>B57*12</f>
        <v/>
      </c>
      <c r="D57" s="12">
        <f>IF(B52=0,0,B57/B52)</f>
        <v/>
      </c>
      <c r="E57" s="5" t="inlineStr">
        <is>
          <t>Weekly to monthly</t>
        </is>
      </c>
    </row>
    <row r="58">
      <c r="A58" s="5" t="inlineStr">
        <is>
          <t>Going out</t>
        </is>
      </c>
      <c r="B58" s="8">
        <f>B14*52/12</f>
        <v/>
      </c>
      <c r="C58" s="8">
        <f>B58*12</f>
        <v/>
      </c>
      <c r="D58" s="12">
        <f>IF(B52=0,0,B58/B52)</f>
        <v/>
      </c>
      <c r="E58" s="5" t="inlineStr">
        <is>
          <t>Weekly to monthly</t>
        </is>
      </c>
    </row>
    <row r="59">
      <c r="A59" s="5" t="inlineStr">
        <is>
          <t>Miscellaneous</t>
        </is>
      </c>
      <c r="B59" s="8">
        <f>B15</f>
        <v/>
      </c>
      <c r="C59" s="8">
        <f>B59*12</f>
        <v/>
      </c>
      <c r="D59" s="12">
        <f>IF(B52=0,0,B59/B52)</f>
        <v/>
      </c>
      <c r="E59" s="5" t="inlineStr"/>
    </row>
    <row r="60">
      <c r="A60" s="5" t="inlineStr">
        <is>
          <t>Transportation</t>
        </is>
      </c>
      <c r="B60" s="8">
        <f>B16</f>
        <v/>
      </c>
      <c r="C60" s="8">
        <f>B60*12</f>
        <v/>
      </c>
      <c r="D60" s="12">
        <f>IF(B52=0,0,B60/B52)</f>
        <v/>
      </c>
      <c r="E60" s="5" t="inlineStr"/>
    </row>
    <row r="61">
      <c r="A61" s="5" t="inlineStr">
        <is>
          <t>Subscriptions / gym</t>
        </is>
      </c>
      <c r="B61" s="8">
        <f>B17</f>
        <v/>
      </c>
      <c r="C61" s="8">
        <f>B61*12</f>
        <v/>
      </c>
      <c r="D61" s="12">
        <f>IF(B52=0,0,B61/B52)</f>
        <v/>
      </c>
      <c r="E61" s="5" t="inlineStr"/>
    </row>
    <row r="62">
      <c r="A62" s="5" t="inlineStr">
        <is>
          <t>Clothing / grooming / gifts</t>
        </is>
      </c>
      <c r="B62" s="8">
        <f>B18</f>
        <v/>
      </c>
      <c r="C62" s="8">
        <f>B62*12</f>
        <v/>
      </c>
      <c r="D62" s="12">
        <f>IF(B52=0,0,B62/B52)</f>
        <v/>
      </c>
      <c r="E62" s="5" t="inlineStr"/>
    </row>
    <row r="63">
      <c r="A63" s="5" t="inlineStr">
        <is>
          <t>Medical out-of-pocket</t>
        </is>
      </c>
      <c r="B63" s="8">
        <f>B19</f>
        <v/>
      </c>
      <c r="C63" s="8">
        <f>B63*12</f>
        <v/>
      </c>
      <c r="D63" s="12">
        <f>IF(B52=0,0,B63/B52)</f>
        <v/>
      </c>
      <c r="E63" s="5" t="inlineStr"/>
    </row>
    <row r="64">
      <c r="A64" s="5" t="inlineStr">
        <is>
          <t>Travel sinking fund</t>
        </is>
      </c>
      <c r="B64" s="8">
        <f>B20</f>
        <v/>
      </c>
      <c r="C64" s="8">
        <f>B64*12</f>
        <v/>
      </c>
      <c r="D64" s="12">
        <f>IF(B52=0,0,B64/B52)</f>
        <v/>
      </c>
      <c r="E64" s="5" t="inlineStr"/>
    </row>
    <row r="65">
      <c r="A65" s="5" t="inlineStr">
        <is>
          <t>Other expenses</t>
        </is>
      </c>
      <c r="B65" s="8">
        <f>B21</f>
        <v/>
      </c>
      <c r="C65" s="8">
        <f>B65*12</f>
        <v/>
      </c>
      <c r="D65" s="12">
        <f>IF(B52=0,0,B65/B52)</f>
        <v/>
      </c>
      <c r="E65" s="5" t="inlineStr"/>
    </row>
    <row r="66">
      <c r="A66" s="9" t="inlineStr">
        <is>
          <t>Total monthly expenses</t>
        </is>
      </c>
      <c r="B66" s="10">
        <f>SUM(B54:B65)</f>
        <v/>
      </c>
      <c r="C66" s="10">
        <f>B66*12</f>
        <v/>
      </c>
      <c r="D66" s="13">
        <f>IF(B52=0,0,B66/B52)</f>
        <v/>
      </c>
    </row>
    <row r="67">
      <c r="A67" s="14" t="inlineStr">
        <is>
          <t>Monthly savings (base salary only)</t>
        </is>
      </c>
      <c r="B67" s="15">
        <f>B52-B66</f>
        <v/>
      </c>
      <c r="C67" s="15">
        <f>B67*12</f>
        <v/>
      </c>
      <c r="D67" s="16">
        <f>IF(B52=0,0,B67/B52)</f>
        <v/>
      </c>
    </row>
    <row r="68">
      <c r="A68" s="9" t="inlineStr">
        <is>
          <t>Monthly savings (year 1 total comp)</t>
        </is>
      </c>
      <c r="B68" s="10">
        <f>B53-B66</f>
        <v/>
      </c>
      <c r="C68" s="10">
        <f>B68*12</f>
        <v/>
      </c>
      <c r="D68" s="13">
        <f>IF(B53=0,0,B68/B53)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How to use this workbook</t>
        </is>
      </c>
    </row>
    <row r="3">
      <c r="A3" t="inlineStr">
        <is>
          <t>1. Edit only the gold input cells on the Budget Planner sheet.</t>
        </is>
      </c>
    </row>
    <row r="4">
      <c r="A4" t="inlineStr">
        <is>
          <t>2. The tax section compares year-1 total compensation against steady-state base salary only.</t>
        </is>
      </c>
    </row>
    <row r="5">
      <c r="A5" t="inlineStr">
        <is>
          <t>3. Monthly savings at the bottom updates automatically when you change comp or expenses.</t>
        </is>
      </c>
    </row>
    <row r="6">
      <c r="A6" t="inlineStr">
        <is>
          <t>4. This is an estimate for a single filer in Manhattan and does not replace payroll or tax advice.</t>
        </is>
      </c>
    </row>
    <row r="7">
      <c r="A7" t="inlineStr">
        <is>
          <t>5. Common missing items to add: transit, health premiums, travel, clothing, subscriptions, gifts, and retirement savings.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2026-08-07T15:35:45Z</dcterms:created>
  <dcterms:modified xsi:type="dcterms:W3CDTF">2026-08-07T15:35:45Z</dcterms:modified>
</cp:coreProperties>
</file>